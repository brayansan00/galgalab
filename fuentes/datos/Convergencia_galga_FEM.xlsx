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vergencia galg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Debe dar 11,3985 MPa (Parte 1 del informe).</t>
        </r>
      </text>
    </comment>
  </commentList>
</comments>
</file>

<file path=xl/sharedStrings.xml><?xml version="1.0" encoding="utf-8"?>
<sst xmlns="http://schemas.openxmlformats.org/spreadsheetml/2006/main" count="32" uniqueCount="32">
  <si>
    <t xml:space="preserve">Estudio de malla: Von Mises en la galga (nodo central vs. promedio sobre el área)</t>
  </si>
  <si>
    <t xml:space="preserve">Viga tubular Al 1100, P = 49,77 N, CalculiX (C3D10). Valores del FEM en azul (resultados de galga_fem.json); celdas en negro calculadas con fórmulas.</t>
  </si>
  <si>
    <t xml:space="preserve">Parámetros del modelo analítico</t>
  </si>
  <si>
    <t xml:space="preserve">Masa colgada m [kg]</t>
  </si>
  <si>
    <t xml:space="preserve">Dato del montaje (CAD y ensayo)</t>
  </si>
  <si>
    <t xml:space="preserve">Gravedad g [m/s²]</t>
  </si>
  <si>
    <t xml:space="preserve">Ancho b [mm]</t>
  </si>
  <si>
    <t xml:space="preserve">Altura h [mm]</t>
  </si>
  <si>
    <t xml:space="preserve">Espesor t [mm]</t>
  </si>
  <si>
    <t xml:space="preserve">Posición de la carga yP [mm]</t>
  </si>
  <si>
    <t xml:space="preserve">Centro de la galga yg [mm]</t>
  </si>
  <si>
    <t xml:space="preserve">Inercia I [mm⁴]</t>
  </si>
  <si>
    <t xml:space="preserve">Esfuerzo analítico σ = P·a·c/I [MPa]</t>
  </si>
  <si>
    <t xml:space="preserve">Malla [mm]</t>
  </si>
  <si>
    <t xml:space="preserve">Nodos</t>
  </si>
  <si>
    <t xml:space="preserve">Elementos</t>
  </si>
  <si>
    <t xml:space="preserve">VM nodo central [MPa]</t>
  </si>
  <si>
    <t xml:space="preserve">VM promedio área [MPa]</t>
  </si>
  <si>
    <t xml:space="preserve">Diferencia área vs. centro [%]</t>
  </si>
  <si>
    <t xml:space="preserve">VM centro vs. analítico [%]</t>
  </si>
  <si>
    <t xml:space="preserve">VM área vs. analítico [%]</t>
  </si>
  <si>
    <t xml:space="preserve">σyy nodo central [MPa]</t>
  </si>
  <si>
    <t xml:space="preserve">σyy promedio área [MPa]</t>
  </si>
  <si>
    <t xml:space="preserve">σyy área vs. analítico [%]</t>
  </si>
  <si>
    <t xml:space="preserve">Variación VM centro vs. 4 mm [%]</t>
  </si>
  <si>
    <t xml:space="preserve">Variación VM área vs. 4 mm [%]</t>
  </si>
  <si>
    <t xml:space="preserve">Notas</t>
  </si>
  <si>
    <t xml:space="preserve">• Fila resaltada: malla de 5 mm, usada como resultado del informe.</t>
  </si>
  <si>
    <t xml:space="preserve">• Promedio sobre el área: integral del campo de esfuerzos sobre la cara de la galga del CAD (5 × 15 mm = 75 mm²), con las funciones de forma cuadráticas de las caras de 6 nodos y cuadratura de 6 puntos; ponderado por área, no promedio simple de nodos.</t>
  </si>
  <si>
    <t xml:space="preserve">• Nodos: sin contar los 2 nodos de referencia de los acoples rígidos.</t>
  </si>
  <si>
    <t xml:space="preserve">• Las mallas de 7 y 4 mm son de control (no forman parte de las cinco pedidas).</t>
  </si>
  <si>
    <t xml:space="preserve">• Fuente de los valores FEM: fem/galga_fem.json (script fem/extraer_galga.py) a partir de los resultados .frd de CalculiX.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</si>
</sst>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000"/>
    <numFmt numFmtId="167" formatCode="0"/>
    <numFmt numFmtId="168" formatCode="#,##0"/>
    <numFmt numFmtId="169" formatCode="0.000"/>
    <numFmt numFmtId="170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5.073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9.81</v>
      </c>
    </row>
    <row r="7" customFormat="false" ht="15" hidden="false" customHeight="false" outlineLevel="0" collapsed="false">
      <c r="A7" s="4" t="s">
        <v>6</v>
      </c>
      <c r="B7" s="5" t="n">
        <v>70</v>
      </c>
    </row>
    <row r="8" customFormat="false" ht="15" hidden="false" customHeight="false" outlineLevel="0" collapsed="false">
      <c r="A8" s="4" t="s">
        <v>7</v>
      </c>
      <c r="B8" s="5" t="n">
        <v>30</v>
      </c>
    </row>
    <row r="9" customFormat="false" ht="15" hidden="false" customHeight="false" outlineLevel="0" collapsed="false">
      <c r="A9" s="4" t="s">
        <v>8</v>
      </c>
      <c r="B9" s="5" t="n">
        <v>1</v>
      </c>
    </row>
    <row r="10" customFormat="false" ht="15" hidden="false" customHeight="false" outlineLevel="0" collapsed="false">
      <c r="A10" s="4" t="s">
        <v>9</v>
      </c>
      <c r="B10" s="5" t="n">
        <v>711</v>
      </c>
    </row>
    <row r="11" customFormat="false" ht="15" hidden="false" customHeight="false" outlineLevel="0" collapsed="false">
      <c r="A11" s="4" t="s">
        <v>10</v>
      </c>
      <c r="B11" s="5" t="n">
        <v>205.5</v>
      </c>
    </row>
    <row r="12" customFormat="false" ht="15" hidden="false" customHeight="false" outlineLevel="0" collapsed="false">
      <c r="A12" s="4" t="s">
        <v>11</v>
      </c>
      <c r="B12" s="7" t="n">
        <f aca="false">(B7*B8^3-(B7-2*B9)*(B8-2*B9)^3)/12</f>
        <v>33105.3333333333</v>
      </c>
    </row>
    <row r="13" customFormat="false" ht="15" hidden="false" customHeight="false" outlineLevel="0" collapsed="false">
      <c r="A13" s="4" t="s">
        <v>12</v>
      </c>
      <c r="B13" s="8" t="n">
        <f aca="false">B5*B6*(B10-B11)*(B8/2)/B12</f>
        <v>11.3985162730577</v>
      </c>
    </row>
    <row r="15" customFormat="false" ht="45" hidden="false" customHeight="true" outlineLevel="0" collapsed="false">
      <c r="A15" s="9" t="s">
        <v>13</v>
      </c>
      <c r="B15" s="9" t="s">
        <v>14</v>
      </c>
      <c r="C15" s="9" t="s">
        <v>15</v>
      </c>
      <c r="D15" s="9" t="s">
        <v>16</v>
      </c>
      <c r="E15" s="9" t="s">
        <v>17</v>
      </c>
      <c r="F15" s="9" t="s">
        <v>18</v>
      </c>
      <c r="G15" s="9" t="s">
        <v>19</v>
      </c>
      <c r="H15" s="9" t="s">
        <v>20</v>
      </c>
      <c r="I15" s="9" t="s">
        <v>21</v>
      </c>
      <c r="J15" s="9" t="s">
        <v>22</v>
      </c>
      <c r="K15" s="9" t="s">
        <v>23</v>
      </c>
      <c r="L15" s="9" t="s">
        <v>24</v>
      </c>
      <c r="M15" s="9" t="s">
        <v>25</v>
      </c>
    </row>
    <row r="16" customFormat="false" ht="15" hidden="false" customHeight="false" outlineLevel="0" collapsed="false">
      <c r="A16" s="10" t="n">
        <v>25</v>
      </c>
      <c r="B16" s="11" t="n">
        <v>10416</v>
      </c>
      <c r="C16" s="11" t="n">
        <v>5175</v>
      </c>
      <c r="D16" s="12" t="n">
        <v>11.6075819823577</v>
      </c>
      <c r="E16" s="12" t="n">
        <v>11.5960118760665</v>
      </c>
      <c r="F16" s="13" t="n">
        <f aca="false">(E16-D16)/D16*100</f>
        <v>-0.0996771447217487</v>
      </c>
      <c r="G16" s="13" t="n">
        <f aca="false">(D16-$B$13)/$B$13*100</f>
        <v>1.83414844784814</v>
      </c>
      <c r="H16" s="13" t="n">
        <f aca="false">(E16-$B$13)/$B$13*100</f>
        <v>1.73264307632362</v>
      </c>
      <c r="I16" s="12" t="n">
        <v>11.5955</v>
      </c>
      <c r="J16" s="12" t="n">
        <v>11.5998833333333</v>
      </c>
      <c r="K16" s="13" t="n">
        <f aca="false">(J16-$B$13)/$B$13*100</f>
        <v>1.76660764832674</v>
      </c>
      <c r="L16" s="14" t="n">
        <f aca="false">ABS(D16-$D$22)/$D$22*100</f>
        <v>1.22929120870136</v>
      </c>
      <c r="M16" s="14" t="n">
        <f aca="false">ABS(E16-$E$22)/$E$22*100</f>
        <v>1.13508498816183</v>
      </c>
    </row>
    <row r="17" customFormat="false" ht="15" hidden="false" customHeight="false" outlineLevel="0" collapsed="false">
      <c r="A17" s="10" t="n">
        <v>20</v>
      </c>
      <c r="B17" s="11" t="n">
        <v>11735</v>
      </c>
      <c r="C17" s="11" t="n">
        <v>5837</v>
      </c>
      <c r="D17" s="12" t="n">
        <v>11.5198416773792</v>
      </c>
      <c r="E17" s="12" t="n">
        <v>11.5655468021741</v>
      </c>
      <c r="F17" s="13" t="n">
        <f aca="false">(E17-D17)/D17*100</f>
        <v>0.396751327621693</v>
      </c>
      <c r="G17" s="13" t="n">
        <f aca="false">(D17-$B$13)/$B$13*100</f>
        <v>1.06439646542655</v>
      </c>
      <c r="H17" s="13" t="n">
        <f aca="false">(E17-$B$13)/$B$13*100</f>
        <v>1.46537080015598</v>
      </c>
      <c r="I17" s="12" t="n">
        <v>11.5717</v>
      </c>
      <c r="J17" s="12" t="n">
        <v>11.49095</v>
      </c>
      <c r="K17" s="13" t="n">
        <f aca="false">(J17-$B$13)/$B$13*100</f>
        <v>0.810927709606885</v>
      </c>
      <c r="L17" s="14" t="n">
        <f aca="false">ABS(D17-$D$22)/$D$22*100</f>
        <v>0.464111268821602</v>
      </c>
      <c r="M17" s="14" t="n">
        <f aca="false">ABS(E17-$E$22)/$E$22*100</f>
        <v>0.869382618226208</v>
      </c>
    </row>
    <row r="18" customFormat="false" ht="15" hidden="false" customHeight="false" outlineLevel="0" collapsed="false">
      <c r="A18" s="10" t="n">
        <v>15</v>
      </c>
      <c r="B18" s="11" t="n">
        <v>16076</v>
      </c>
      <c r="C18" s="11" t="n">
        <v>7999</v>
      </c>
      <c r="D18" s="12" t="n">
        <v>11.5364673237989</v>
      </c>
      <c r="E18" s="12" t="n">
        <v>11.5566019843016</v>
      </c>
      <c r="F18" s="13" t="n">
        <f aca="false">(E18-D18)/D18*100</f>
        <v>0.1745305554778</v>
      </c>
      <c r="G18" s="13" t="n">
        <f aca="false">(D18-$B$13)/$B$13*100</f>
        <v>1.2102544527415</v>
      </c>
      <c r="H18" s="13" t="n">
        <f aca="false">(E18-$B$13)/$B$13*100</f>
        <v>1.38689727203837</v>
      </c>
      <c r="I18" s="12" t="n">
        <v>11.4985</v>
      </c>
      <c r="J18" s="12" t="n">
        <v>11.4664666666667</v>
      </c>
      <c r="K18" s="13" t="n">
        <f aca="false">(J18-$B$13)/$B$13*100</f>
        <v>0.596133671972361</v>
      </c>
      <c r="L18" s="14" t="n">
        <f aca="false">ABS(D18-$D$22)/$D$22*100</f>
        <v>0.609102913550505</v>
      </c>
      <c r="M18" s="14" t="n">
        <f aca="false">ABS(E18-$E$22)/$E$22*100</f>
        <v>0.791370028604002</v>
      </c>
    </row>
    <row r="19" customFormat="false" ht="15" hidden="false" customHeight="false" outlineLevel="0" collapsed="false">
      <c r="A19" s="10" t="n">
        <v>10</v>
      </c>
      <c r="B19" s="11" t="n">
        <v>28263</v>
      </c>
      <c r="C19" s="11" t="n">
        <v>14086</v>
      </c>
      <c r="D19" s="12" t="n">
        <v>11.4728277017795</v>
      </c>
      <c r="E19" s="12" t="n">
        <v>11.4722753689766</v>
      </c>
      <c r="F19" s="13" t="n">
        <f aca="false">(E19-D19)/D19*100</f>
        <v>-0.00481426913431023</v>
      </c>
      <c r="G19" s="13" t="n">
        <f aca="false">(D19-$B$13)/$B$13*100</f>
        <v>0.651939488803581</v>
      </c>
      <c r="H19" s="13" t="n">
        <f aca="false">(E19-$B$13)/$B$13*100</f>
        <v>0.647093833547687</v>
      </c>
      <c r="I19" s="12" t="n">
        <v>11.4527</v>
      </c>
      <c r="J19" s="12" t="n">
        <v>11.4523291666667</v>
      </c>
      <c r="K19" s="13" t="n">
        <f aca="false">(J19-$B$13)/$B$13*100</f>
        <v>0.47210437147974</v>
      </c>
      <c r="L19" s="14" t="n">
        <f aca="false">ABS(D19-$D$22)/$D$22*100</f>
        <v>0.0541041343385234</v>
      </c>
      <c r="M19" s="14" t="n">
        <f aca="false">ABS(E19-$E$22)/$E$22*100</f>
        <v>0.0559120540170606</v>
      </c>
    </row>
    <row r="20" customFormat="false" ht="15" hidden="false" customHeight="false" outlineLevel="0" collapsed="false">
      <c r="A20" s="10" t="n">
        <v>7</v>
      </c>
      <c r="B20" s="11" t="n">
        <v>50154</v>
      </c>
      <c r="C20" s="11" t="n">
        <v>25029</v>
      </c>
      <c r="D20" s="12" t="n">
        <v>11.4678165793903</v>
      </c>
      <c r="E20" s="12" t="n">
        <v>11.4680447860566</v>
      </c>
      <c r="F20" s="13" t="n">
        <f aca="false">(E20-D20)/D20*100</f>
        <v>0.0019899748545865</v>
      </c>
      <c r="G20" s="13" t="n">
        <f aca="false">(D20-$B$13)/$B$13*100</f>
        <v>0.607976553021547</v>
      </c>
      <c r="H20" s="13" t="n">
        <f aca="false">(E20-$B$13)/$B$13*100</f>
        <v>0.60997862645666</v>
      </c>
      <c r="I20" s="12" t="n">
        <v>11.4474</v>
      </c>
      <c r="J20" s="12" t="n">
        <v>11.4495651060764</v>
      </c>
      <c r="K20" s="13" t="n">
        <f aca="false">(J20-$B$13)/$B$13*100</f>
        <v>0.447855069868416</v>
      </c>
      <c r="L20" s="14" t="n">
        <f aca="false">ABS(D20-$D$22)/$D$22*100</f>
        <v>0.010402322161559</v>
      </c>
      <c r="M20" s="14" t="n">
        <f aca="false">ABS(E20-$E$22)/$E$22*100</f>
        <v>0.0190148545538747</v>
      </c>
    </row>
    <row r="21" customFormat="false" ht="15" hidden="false" customHeight="false" outlineLevel="0" collapsed="false">
      <c r="A21" s="15" t="n">
        <v>5</v>
      </c>
      <c r="B21" s="16" t="n">
        <v>90815</v>
      </c>
      <c r="C21" s="16" t="n">
        <v>45706</v>
      </c>
      <c r="D21" s="17" t="n">
        <v>11.4640824259073</v>
      </c>
      <c r="E21" s="17" t="n">
        <v>11.4629451429818</v>
      </c>
      <c r="F21" s="18" t="n">
        <f aca="false">(E21-D21)/D21*100</f>
        <v>-0.00992040080713663</v>
      </c>
      <c r="G21" s="18" t="n">
        <f aca="false">(D21-$B$13)/$B$13*100</f>
        <v>0.575216556953053</v>
      </c>
      <c r="H21" s="18" t="n">
        <f aca="false">(E21-$B$13)/$B$13*100</f>
        <v>0.565239092357958</v>
      </c>
      <c r="I21" s="17" t="n">
        <v>11.4419</v>
      </c>
      <c r="J21" s="17" t="n">
        <v>11.4445822126389</v>
      </c>
      <c r="K21" s="18" t="n">
        <f aca="false">(J21-$B$13)/$B$13*100</f>
        <v>0.404139788702586</v>
      </c>
      <c r="L21" s="19" t="n">
        <f aca="false">ABS(D21-$D$22)/$D$22*100</f>
        <v>0.0221630916270364</v>
      </c>
      <c r="M21" s="19" t="n">
        <f aca="false">ABS(E21-$E$22)/$E$22*100</f>
        <v>0.0254618880783635</v>
      </c>
    </row>
    <row r="22" customFormat="false" ht="15" hidden="false" customHeight="false" outlineLevel="0" collapsed="false">
      <c r="A22" s="10" t="n">
        <v>4</v>
      </c>
      <c r="B22" s="11" t="n">
        <v>138585</v>
      </c>
      <c r="C22" s="11" t="n">
        <v>69809</v>
      </c>
      <c r="D22" s="12" t="n">
        <v>11.4666237842432</v>
      </c>
      <c r="E22" s="12" t="n">
        <v>11.4658645685855</v>
      </c>
      <c r="F22" s="13" t="n">
        <f aca="false">(E22-D22)/D22*100</f>
        <v>-0.0066210915432071</v>
      </c>
      <c r="G22" s="13" t="n">
        <f aca="false">(D22-$B$13)/$B$13*100</f>
        <v>0.597512075728916</v>
      </c>
      <c r="H22" s="13" t="n">
        <f aca="false">(E22-$B$13)/$B$13*100</f>
        <v>0.590851422364193</v>
      </c>
      <c r="I22" s="12" t="n">
        <v>11.4517</v>
      </c>
      <c r="J22" s="12" t="n">
        <v>11.4530616567033</v>
      </c>
      <c r="K22" s="13" t="n">
        <f aca="false">(J22-$B$13)/$B$13*100</f>
        <v>0.478530559056464</v>
      </c>
      <c r="L22" s="14" t="n">
        <f aca="false">ABS(D22-$D$22)/$D$22*100</f>
        <v>0</v>
      </c>
      <c r="M22" s="14" t="n">
        <f aca="false">ABS(E22-$E$22)/$E$22*100</f>
        <v>0</v>
      </c>
    </row>
    <row r="24" customFormat="false" ht="15" hidden="false" customHeight="false" outlineLevel="0" collapsed="false">
      <c r="A24" s="3" t="s">
        <v>26</v>
      </c>
    </row>
    <row r="25" customFormat="false" ht="15" hidden="false" customHeight="false" outlineLevel="0" collapsed="false">
      <c r="A25" s="20" t="s">
        <v>27</v>
      </c>
    </row>
    <row r="26" customFormat="false" ht="15" hidden="false" customHeight="false" outlineLevel="0" collapsed="false">
      <c r="A26" s="20" t="s">
        <v>28</v>
      </c>
    </row>
    <row r="27" customFormat="false" ht="15" hidden="false" customHeight="false" outlineLevel="0" collapsed="false">
      <c r="A27" s="20" t="s">
        <v>29</v>
      </c>
    </row>
    <row r="28" customFormat="false" ht="15" hidden="false" customHeight="false" outlineLevel="0" collapsed="false">
      <c r="A28" s="20" t="s">
        <v>30</v>
      </c>
    </row>
    <row r="29" customFormat="false" ht="15" hidden="false" customHeight="false" outlineLevel="0" collapsed="false">
      <c r="A29" s="2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2026-10-01T14:36:29Z</dcterms:created>
  <dc:creator>openpyxl</dc:creator>
  <dc:description/>
  <dc:language>en-US</dc:language>
  <cp:lastModifiedBy/>
  <dcterms:modified xsi:type="dcterms:W3CDTF">2026-10-01T14:36:29Z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